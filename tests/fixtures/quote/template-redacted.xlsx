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63" firstSheet="0" activeTab="0" autoFilterDateGrouping="1"/>
  </bookViews>
  <sheets>
    <sheet xmlns:r="http://schemas.openxmlformats.org/officeDocument/2006/relationships" name="견적" sheetId="1" state="visible" r:id="rId1"/>
    <sheet xmlns:r="http://schemas.openxmlformats.org/officeDocument/2006/relationships" name="견적 (마진계산용)" sheetId="2" state="visible" r:id="rId2"/>
  </sheets>
  <definedNames>
    <definedName name="_xlnm.Print_Area" localSheetId="0">'견적'!$A$1:$I$32</definedName>
    <definedName name="_xlnm.Print_Area" localSheetId="1">'견적 (마진계산용)'!$A$1:$I$32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&quot;년&quot;\ m&quot;월&quot;\ d&quot;일&quot;;@"/>
    <numFmt numFmtId="165" formatCode="_-* #,##0_-;\-* #,##0_-;_-* &quot;-&quot;_-;_-@_-"/>
    <numFmt numFmtId="166" formatCode="_-* #,##0.00_-;\-* #,##0.00_-;_-* &quot;-&quot;??_-;_-@_-"/>
    <numFmt numFmtId="167" formatCode="_-* #,##0.00_-;\-* #,##0.00_-;_-* &quot;-&quot;_-;_-@_-"/>
    <numFmt numFmtId="168" formatCode="&quot;₩&quot;#,##0"/>
    <numFmt numFmtId="169" formatCode="_-&quot;₩&quot;* #,##0_-;\-&quot;₩&quot;* #,##0_-;_-&quot;₩&quot;* &quot;-&quot;_-;_-@_-"/>
    <numFmt numFmtId="170" formatCode="&quot;₩&quot;#,##0_);[Red]\(&quot;₩&quot;#,##0\)"/>
    <numFmt numFmtId="171" formatCode="[DBNum4][$-412]&quot;일금&quot;\ General&quot;원정&quot;"/>
  </numFmts>
  <fonts count="16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FF"/>
      <sz val="11"/>
      <u val="single"/>
    </font>
    <font>
      <name val="맑은 고딕"/>
      <charset val="129"/>
      <family val="3"/>
      <color rgb="FF0000FF"/>
      <sz val="10"/>
      <u val="single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color rgb="FFFF0000"/>
      <sz val="10"/>
    </font>
    <font>
      <name val="맑은 고딕"/>
      <charset val="129"/>
      <family val="3"/>
      <color rgb="FF0000FF"/>
      <sz val="11"/>
      <u val="single"/>
    </font>
    <font>
      <name val="맑은 고딕"/>
      <charset val="129"/>
      <family val="3"/>
      <b val="1"/>
      <color rgb="FF000000"/>
      <sz val="24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1F0D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rgb="FF000000"/>
      </right>
      <top style="double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000000"/>
      </left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rgb="FF000000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 applyAlignment="1">
      <alignment vertical="center"/>
    </xf>
    <xf numFmtId="42" fontId="15" fillId="0" borderId="0" applyAlignment="1">
      <alignment vertical="center"/>
    </xf>
    <xf numFmtId="41" fontId="1" fillId="0" borderId="0"/>
    <xf numFmtId="0" fontId="1" fillId="0" borderId="0"/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41" fontId="15" fillId="0" borderId="0" applyAlignment="1">
      <alignment vertical="center"/>
    </xf>
  </cellStyleXfs>
  <cellXfs count="177">
    <xf numFmtId="0" fontId="0" fillId="0" borderId="0" applyAlignment="1" pivotButton="0" quotePrefix="0" xfId="0">
      <alignment vertical="center"/>
    </xf>
    <xf numFmtId="0" fontId="4" fillId="2" borderId="0" applyAlignment="1" pivotButton="0" quotePrefix="0" xfId="4">
      <alignment horizontal="left" vertical="center"/>
    </xf>
    <xf numFmtId="0" fontId="4" fillId="0" borderId="0" applyAlignment="1" pivotButton="0" quotePrefix="0" xfId="4">
      <alignment vertical="center"/>
    </xf>
    <xf numFmtId="0" fontId="4" fillId="2" borderId="1" applyAlignment="1" pivotButton="0" quotePrefix="0" xfId="4">
      <alignment horizontal="left" vertical="center"/>
    </xf>
    <xf numFmtId="0" fontId="4" fillId="2" borderId="0" applyAlignment="1" pivotButton="0" quotePrefix="0" xfId="4">
      <alignment horizontal="right" vertical="center"/>
    </xf>
    <xf numFmtId="0" fontId="4" fillId="2" borderId="2" applyAlignment="1" pivotButton="0" quotePrefix="0" xfId="4">
      <alignment vertical="center"/>
    </xf>
    <xf numFmtId="0" fontId="4" fillId="2" borderId="2" applyAlignment="1" pivotButton="0" quotePrefix="0" xfId="4">
      <alignment horizontal="left" vertical="center"/>
    </xf>
    <xf numFmtId="0" fontId="4" fillId="2" borderId="3" applyAlignment="1" pivotButton="0" quotePrefix="0" xfId="4">
      <alignment horizontal="left" vertical="center"/>
    </xf>
    <xf numFmtId="0" fontId="4" fillId="2" borderId="3" applyAlignment="1" pivotButton="0" quotePrefix="0" xfId="4">
      <alignment vertical="center"/>
    </xf>
    <xf numFmtId="0" fontId="5" fillId="2" borderId="0" applyAlignment="1" pivotButton="0" quotePrefix="0" xfId="4">
      <alignment horizontal="left" vertical="center"/>
    </xf>
    <xf numFmtId="164" fontId="4" fillId="2" borderId="0" applyAlignment="1" pivotButton="0" quotePrefix="0" xfId="4">
      <alignment horizontal="left" vertical="center"/>
    </xf>
    <xf numFmtId="164" fontId="0" fillId="0" borderId="0" applyAlignment="1" pivotButton="0" quotePrefix="0" xfId="4">
      <alignment vertical="center"/>
    </xf>
    <xf numFmtId="0" fontId="4" fillId="2" borderId="0" applyAlignment="1" pivotButton="0" quotePrefix="0" xfId="4">
      <alignment vertical="center"/>
    </xf>
    <xf numFmtId="0" fontId="4" fillId="2" borderId="0" applyAlignment="1" pivotButton="0" quotePrefix="0" xfId="3">
      <alignment horizontal="left" vertical="center"/>
    </xf>
    <xf numFmtId="0" fontId="6" fillId="2" borderId="0" applyAlignment="1" pivotButton="0" quotePrefix="0" xfId="4">
      <alignment vertical="center"/>
    </xf>
    <xf numFmtId="0" fontId="2" fillId="2" borderId="0" applyAlignment="1" pivotButton="0" quotePrefix="0" xfId="5">
      <alignment horizontal="left" vertical="center"/>
    </xf>
    <xf numFmtId="0" fontId="4" fillId="2" borderId="0" applyAlignment="1" pivotButton="0" quotePrefix="0" xfId="4">
      <alignment horizontal="center" vertical="center"/>
    </xf>
    <xf numFmtId="0" fontId="7" fillId="0" borderId="4" applyAlignment="1" pivotButton="0" quotePrefix="0" xfId="4">
      <alignment horizontal="center" vertical="center"/>
    </xf>
    <xf numFmtId="0" fontId="0" fillId="0" borderId="0" applyAlignment="1" pivotButton="0" quotePrefix="0" xfId="4">
      <alignment vertical="center"/>
    </xf>
    <xf numFmtId="165" fontId="4" fillId="0" borderId="0" applyAlignment="1" pivotButton="0" quotePrefix="0" xfId="2">
      <alignment vertical="center"/>
    </xf>
    <xf numFmtId="0" fontId="8" fillId="2" borderId="5" applyAlignment="1" pivotButton="0" quotePrefix="0" xfId="4">
      <alignment vertical="center"/>
    </xf>
    <xf numFmtId="0" fontId="4" fillId="2" borderId="1" applyAlignment="1" pivotButton="0" quotePrefix="0" xfId="4">
      <alignment vertical="center"/>
    </xf>
    <xf numFmtId="0" fontId="8" fillId="2" borderId="1" applyAlignment="1" pivotButton="0" quotePrefix="0" xfId="4">
      <alignment vertical="center"/>
    </xf>
    <xf numFmtId="0" fontId="8" fillId="2" borderId="6" applyAlignment="1" pivotButton="0" quotePrefix="0" xfId="4">
      <alignment vertical="center"/>
    </xf>
    <xf numFmtId="0" fontId="4" fillId="0" borderId="0" applyAlignment="1" pivotButton="0" quotePrefix="0" xfId="4">
      <alignment horizontal="center" vertical="center"/>
    </xf>
    <xf numFmtId="0" fontId="0" fillId="2" borderId="7" applyAlignment="1" pivotButton="0" quotePrefix="0" xfId="4">
      <alignment horizontal="center" vertical="center"/>
    </xf>
    <xf numFmtId="0" fontId="7" fillId="0" borderId="8" applyAlignment="1" pivotButton="0" quotePrefix="0" xfId="4">
      <alignment horizontal="center" vertical="center" wrapText="1"/>
    </xf>
    <xf numFmtId="0" fontId="3" fillId="2" borderId="0" applyAlignment="1" pivotButton="0" quotePrefix="0" xfId="6">
      <alignment vertical="center"/>
    </xf>
    <xf numFmtId="0" fontId="9" fillId="2" borderId="9" applyAlignment="1" pivotButton="0" quotePrefix="0" xfId="4">
      <alignment vertical="center"/>
    </xf>
    <xf numFmtId="0" fontId="8" fillId="2" borderId="10" applyAlignment="1" pivotButton="0" quotePrefix="1" xfId="4">
      <alignment vertical="center"/>
    </xf>
    <xf numFmtId="0" fontId="4" fillId="3" borderId="0" applyAlignment="1" pivotButton="0" quotePrefix="0" xfId="4">
      <alignment vertical="center"/>
    </xf>
    <xf numFmtId="166" fontId="4" fillId="3" borderId="0" applyAlignment="1" pivotButton="0" quotePrefix="0" xfId="4">
      <alignment vertical="center"/>
    </xf>
    <xf numFmtId="0" fontId="2" fillId="0" borderId="3" applyAlignment="1" applyProtection="1" pivotButton="0" quotePrefix="0" xfId="5">
      <alignment vertical="top"/>
      <protection locked="0" hidden="0"/>
    </xf>
    <xf numFmtId="0" fontId="2" fillId="0" borderId="0" applyAlignment="1" applyProtection="1" pivotButton="0" quotePrefix="0" xfId="5">
      <alignment vertical="top"/>
      <protection locked="0" hidden="0"/>
    </xf>
    <xf numFmtId="0" fontId="10" fillId="2" borderId="0" applyAlignment="1" pivotButton="0" quotePrefix="0" xfId="4">
      <alignment horizontal="right" vertical="center"/>
    </xf>
    <xf numFmtId="0" fontId="13" fillId="2" borderId="11" applyAlignment="1" pivotButton="0" quotePrefix="0" xfId="4">
      <alignment horizontal="center" vertical="center"/>
    </xf>
    <xf numFmtId="0" fontId="0" fillId="2" borderId="16" applyAlignment="1" pivotButton="0" quotePrefix="0" xfId="4">
      <alignment horizontal="center" vertical="center"/>
    </xf>
    <xf numFmtId="165" fontId="4" fillId="3" borderId="0" applyAlignment="1" pivotButton="0" quotePrefix="0" xfId="7">
      <alignment vertical="center"/>
    </xf>
    <xf numFmtId="165" fontId="4" fillId="0" borderId="0" applyAlignment="1" pivotButton="0" quotePrefix="0" xfId="7">
      <alignment vertical="center"/>
    </xf>
    <xf numFmtId="165" fontId="4" fillId="0" borderId="0" applyAlignment="1" pivotButton="0" quotePrefix="0" xfId="4">
      <alignment vertical="center"/>
    </xf>
    <xf numFmtId="167" fontId="4" fillId="3" borderId="0" applyAlignment="1" pivotButton="0" quotePrefix="0" xfId="7">
      <alignment vertical="center"/>
    </xf>
    <xf numFmtId="165" fontId="4" fillId="3" borderId="0" applyAlignment="1" pivotButton="0" quotePrefix="0" xfId="4">
      <alignment vertical="center"/>
    </xf>
    <xf numFmtId="0" fontId="0" fillId="2" borderId="17" applyAlignment="1" pivotButton="0" quotePrefix="0" xfId="4">
      <alignment horizontal="center" vertical="center"/>
    </xf>
    <xf numFmtId="0" fontId="4" fillId="0" borderId="0" applyAlignment="1" pivotButton="0" quotePrefix="0" xfId="4">
      <alignment vertical="center" wrapText="1"/>
    </xf>
    <xf numFmtId="0" fontId="9" fillId="2" borderId="10" applyAlignment="1" pivotButton="0" quotePrefix="0" xfId="4">
      <alignment vertical="center"/>
    </xf>
    <xf numFmtId="0" fontId="4" fillId="0" borderId="23" applyAlignment="1" pivotButton="0" quotePrefix="0" xfId="4">
      <alignment vertical="center"/>
    </xf>
    <xf numFmtId="165" fontId="4" fillId="0" borderId="25" applyAlignment="1" pivotButton="0" quotePrefix="0" xfId="4">
      <alignment vertical="center"/>
    </xf>
    <xf numFmtId="0" fontId="4" fillId="0" borderId="22" applyAlignment="1" pivotButton="0" quotePrefix="0" xfId="4">
      <alignment vertical="center"/>
    </xf>
    <xf numFmtId="0" fontId="4" fillId="0" borderId="2" applyAlignment="1" pivotButton="0" quotePrefix="0" xfId="4">
      <alignment vertical="center"/>
    </xf>
    <xf numFmtId="165" fontId="4" fillId="0" borderId="27" applyAlignment="1" pivotButton="0" quotePrefix="0" xfId="7">
      <alignment vertical="center"/>
    </xf>
    <xf numFmtId="165" fontId="4" fillId="0" borderId="24" applyAlignment="1" pivotButton="0" quotePrefix="0" xfId="7">
      <alignment vertical="center"/>
    </xf>
    <xf numFmtId="0" fontId="5" fillId="3" borderId="29" applyAlignment="1" pivotButton="0" quotePrefix="0" xfId="4">
      <alignment horizontal="center" vertical="center"/>
    </xf>
    <xf numFmtId="0" fontId="5" fillId="0" borderId="28" applyAlignment="1" pivotButton="0" quotePrefix="0" xfId="4">
      <alignment vertical="center"/>
    </xf>
    <xf numFmtId="168" fontId="4" fillId="0" borderId="21" applyAlignment="1" pivotButton="0" quotePrefix="0" xfId="4">
      <alignment vertical="center"/>
    </xf>
    <xf numFmtId="165" fontId="4" fillId="0" borderId="20" applyAlignment="1" pivotButton="0" quotePrefix="0" xfId="7">
      <alignment vertical="center"/>
    </xf>
    <xf numFmtId="165" fontId="4" fillId="0" borderId="23" applyAlignment="1" pivotButton="0" quotePrefix="0" xfId="7">
      <alignment vertical="center"/>
    </xf>
    <xf numFmtId="165" fontId="4" fillId="0" borderId="26" applyAlignment="1" pivotButton="0" quotePrefix="0" xfId="7">
      <alignment vertical="center"/>
    </xf>
    <xf numFmtId="0" fontId="4" fillId="3" borderId="37" applyAlignment="1" pivotButton="0" quotePrefix="0" xfId="4">
      <alignment horizontal="center" vertical="center"/>
    </xf>
    <xf numFmtId="0" fontId="7" fillId="3" borderId="38" applyAlignment="1" pivotButton="0" quotePrefix="0" xfId="4">
      <alignment horizontal="center" vertical="center"/>
    </xf>
    <xf numFmtId="0" fontId="5" fillId="3" borderId="36" applyAlignment="1" pivotButton="0" quotePrefix="0" xfId="4">
      <alignment horizontal="center" vertical="center"/>
    </xf>
    <xf numFmtId="0" fontId="4" fillId="0" borderId="28" applyAlignment="1" pivotButton="0" quotePrefix="0" xfId="4">
      <alignment horizontal="center" vertical="center"/>
    </xf>
    <xf numFmtId="0" fontId="13" fillId="0" borderId="28" applyAlignment="1" pivotButton="0" quotePrefix="0" xfId="4">
      <alignment horizontal="center" vertical="center"/>
    </xf>
    <xf numFmtId="0" fontId="9" fillId="2" borderId="0" applyAlignment="1" pivotButton="0" quotePrefix="0" xfId="4">
      <alignment vertical="center"/>
    </xf>
    <xf numFmtId="0" fontId="8" fillId="2" borderId="0" applyAlignment="1" pivotButton="0" quotePrefix="0" xfId="4">
      <alignment vertical="center"/>
    </xf>
    <xf numFmtId="0" fontId="6" fillId="0" borderId="0" applyAlignment="1" pivotButton="0" quotePrefix="0" xfId="4">
      <alignment horizontal="left" vertical="center"/>
    </xf>
    <xf numFmtId="0" fontId="4" fillId="0" borderId="39" applyAlignment="1" pivotButton="0" quotePrefix="0" xfId="4">
      <alignment horizontal="center" vertical="center"/>
    </xf>
    <xf numFmtId="168" fontId="4" fillId="0" borderId="0" applyAlignment="1" pivotButton="0" quotePrefix="0" xfId="4">
      <alignment vertical="center"/>
    </xf>
    <xf numFmtId="169" fontId="5" fillId="3" borderId="31" applyAlignment="1" pivotButton="0" quotePrefix="0" xfId="1">
      <alignment horizontal="right" vertical="center"/>
    </xf>
    <xf numFmtId="170" fontId="5" fillId="3" borderId="30" applyAlignment="1" pivotButton="0" quotePrefix="0" xfId="7">
      <alignment horizontal="right" vertical="center"/>
    </xf>
    <xf numFmtId="168" fontId="4" fillId="0" borderId="25" applyAlignment="1" pivotButton="0" quotePrefix="0" xfId="7">
      <alignment vertical="center"/>
    </xf>
    <xf numFmtId="165" fontId="5" fillId="0" borderId="41" applyAlignment="1" pivotButton="0" quotePrefix="0" xfId="4">
      <alignment vertical="center"/>
    </xf>
    <xf numFmtId="165" fontId="5" fillId="0" borderId="42" applyAlignment="1" pivotButton="0" quotePrefix="0" xfId="4">
      <alignment vertical="center"/>
    </xf>
    <xf numFmtId="165" fontId="5" fillId="0" borderId="20" applyAlignment="1" pivotButton="0" quotePrefix="0" xfId="4">
      <alignment vertical="center"/>
    </xf>
    <xf numFmtId="165" fontId="5" fillId="0" borderId="23" applyAlignment="1" pivotButton="0" quotePrefix="0" xfId="4">
      <alignment vertical="center"/>
    </xf>
    <xf numFmtId="168" fontId="4" fillId="0" borderId="0" applyAlignment="1" pivotButton="0" quotePrefix="0" xfId="7">
      <alignment vertical="center"/>
    </xf>
    <xf numFmtId="0" fontId="4" fillId="0" borderId="43" applyAlignment="1" pivotButton="0" quotePrefix="0" xfId="4">
      <alignment horizontal="center" vertical="center"/>
    </xf>
    <xf numFmtId="0" fontId="13" fillId="0" borderId="44" applyAlignment="1" pivotButton="0" quotePrefix="0" xfId="4">
      <alignment horizontal="center" vertical="center"/>
    </xf>
    <xf numFmtId="0" fontId="4" fillId="0" borderId="44" applyAlignment="1" pivotButton="0" quotePrefix="0" xfId="4">
      <alignment horizontal="center" vertical="center"/>
    </xf>
    <xf numFmtId="0" fontId="5" fillId="0" borderId="44" applyAlignment="1" pivotButton="0" quotePrefix="0" xfId="4">
      <alignment vertical="center"/>
    </xf>
    <xf numFmtId="0" fontId="4" fillId="0" borderId="45" applyAlignment="1" pivotButton="0" quotePrefix="0" xfId="4">
      <alignment horizontal="center" vertical="center"/>
    </xf>
    <xf numFmtId="0" fontId="13" fillId="0" borderId="46" applyAlignment="1" pivotButton="0" quotePrefix="0" xfId="4">
      <alignment horizontal="center" vertical="center"/>
    </xf>
    <xf numFmtId="0" fontId="4" fillId="0" borderId="46" applyAlignment="1" pivotButton="0" quotePrefix="0" xfId="4">
      <alignment horizontal="center" vertical="center"/>
    </xf>
    <xf numFmtId="0" fontId="5" fillId="0" borderId="46" applyAlignment="1" pivotButton="0" quotePrefix="0" xfId="4">
      <alignment vertical="center"/>
    </xf>
    <xf numFmtId="165" fontId="5" fillId="0" borderId="47" applyAlignment="1" pivotButton="0" quotePrefix="0" xfId="4">
      <alignment vertical="center"/>
    </xf>
    <xf numFmtId="165" fontId="5" fillId="0" borderId="15" applyAlignment="1" pivotButton="0" quotePrefix="0" xfId="4">
      <alignment vertical="center"/>
    </xf>
    <xf numFmtId="0" fontId="4" fillId="0" borderId="42" applyAlignment="1" pivotButton="0" quotePrefix="0" xfId="4">
      <alignment vertical="center"/>
    </xf>
    <xf numFmtId="0" fontId="5" fillId="0" borderId="28" applyAlignment="1" pivotButton="0" quotePrefix="0" xfId="4">
      <alignment horizontal="center" vertical="center"/>
    </xf>
    <xf numFmtId="0" fontId="4" fillId="0" borderId="28" applyAlignment="1" pivotButton="0" quotePrefix="0" xfId="4">
      <alignment horizontal="center" vertical="center"/>
    </xf>
    <xf numFmtId="0" fontId="13" fillId="0" borderId="46" applyAlignment="1" pivotButton="0" quotePrefix="1" xfId="4">
      <alignment horizontal="left" vertical="center"/>
    </xf>
    <xf numFmtId="0" fontId="13" fillId="0" borderId="46" applyAlignment="1" pivotButton="0" quotePrefix="0" xfId="4">
      <alignment horizontal="left" vertical="center"/>
    </xf>
    <xf numFmtId="0" fontId="8" fillId="0" borderId="28" applyAlignment="1" pivotButton="0" quotePrefix="1" xfId="0">
      <alignment horizontal="left" vertical="center" wrapText="1"/>
    </xf>
    <xf numFmtId="0" fontId="13" fillId="0" borderId="3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2" fillId="2" borderId="0" applyAlignment="1" pivotButton="0" quotePrefix="0" xfId="5">
      <alignment horizontal="center" vertical="center"/>
    </xf>
    <xf numFmtId="0" fontId="11" fillId="2" borderId="0" applyAlignment="1" pivotButton="0" quotePrefix="0" xfId="5">
      <alignment horizontal="center" vertical="center"/>
    </xf>
    <xf numFmtId="171" fontId="5" fillId="2" borderId="2" applyAlignment="1" pivotButton="0" quotePrefix="0" xfId="4">
      <alignment horizontal="center" vertical="center"/>
    </xf>
    <xf numFmtId="0" fontId="0" fillId="2" borderId="7" applyAlignment="1" pivotButton="0" quotePrefix="0" xfId="4">
      <alignment horizontal="center" vertical="center"/>
    </xf>
    <xf numFmtId="0" fontId="0" fillId="0" borderId="7" applyAlignment="1" pivotButton="0" quotePrefix="0" xfId="4">
      <alignment horizontal="center" vertical="center"/>
    </xf>
    <xf numFmtId="0" fontId="7" fillId="3" borderId="33" applyAlignment="1" pivotButton="0" quotePrefix="0" xfId="4">
      <alignment vertical="center"/>
    </xf>
    <xf numFmtId="0" fontId="7" fillId="3" borderId="34" applyAlignment="1" pivotButton="0" quotePrefix="0" xfId="4">
      <alignment vertical="center"/>
    </xf>
    <xf numFmtId="0" fontId="7" fillId="3" borderId="35" applyAlignment="1" pivotButton="0" quotePrefix="0" xfId="4">
      <alignment vertical="center"/>
    </xf>
    <xf numFmtId="0" fontId="13" fillId="0" borderId="44" applyAlignment="1" pivotButton="0" quotePrefix="0" xfId="4">
      <alignment vertical="center"/>
    </xf>
    <xf numFmtId="0" fontId="13" fillId="0" borderId="32" applyAlignment="1" pivotButton="0" quotePrefix="1" xfId="4">
      <alignment horizontal="left" vertical="center"/>
    </xf>
    <xf numFmtId="0" fontId="13" fillId="0" borderId="3" applyAlignment="1" pivotButton="0" quotePrefix="1" xfId="4">
      <alignment horizontal="left" vertical="center"/>
    </xf>
    <xf numFmtId="0" fontId="13" fillId="0" borderId="40" applyAlignment="1" pivotButton="0" quotePrefix="1" xfId="4">
      <alignment horizontal="left" vertical="center"/>
    </xf>
    <xf numFmtId="0" fontId="12" fillId="2" borderId="0" applyAlignment="1" pivotButton="0" quotePrefix="0" xfId="4">
      <alignment horizontal="center" vertical="center"/>
    </xf>
    <xf numFmtId="0" fontId="4" fillId="2" borderId="2" applyAlignment="1" pivotButton="0" quotePrefix="0" xfId="4">
      <alignment horizontal="center" vertical="center"/>
    </xf>
    <xf numFmtId="0" fontId="4" fillId="2" borderId="3" applyAlignment="1" pivotButton="0" quotePrefix="0" xfId="4">
      <alignment horizontal="center" vertical="center"/>
    </xf>
    <xf numFmtId="0" fontId="3" fillId="2" borderId="3" applyAlignment="1" pivotButton="0" quotePrefix="0" xfId="4">
      <alignment horizontal="center" vertical="center"/>
    </xf>
    <xf numFmtId="168" fontId="7" fillId="2" borderId="14" applyAlignment="1" pivotButton="0" quotePrefix="0" xfId="2">
      <alignment horizontal="center" vertical="center"/>
    </xf>
    <xf numFmtId="168" fontId="7" fillId="2" borderId="15" applyAlignment="1" pivotButton="0" quotePrefix="0" xfId="2">
      <alignment horizontal="center" vertical="center"/>
    </xf>
    <xf numFmtId="168" fontId="7" fillId="2" borderId="14" applyAlignment="1" pivotButton="0" quotePrefix="0" xfId="2">
      <alignment vertical="center"/>
    </xf>
    <xf numFmtId="168" fontId="7" fillId="2" borderId="15" applyAlignment="1" pivotButton="0" quotePrefix="0" xfId="2">
      <alignment vertical="center"/>
    </xf>
    <xf numFmtId="168" fontId="7" fillId="2" borderId="18" applyAlignment="1" pivotButton="0" quotePrefix="0" xfId="2">
      <alignment horizontal="center" vertical="center"/>
    </xf>
    <xf numFmtId="168" fontId="7" fillId="2" borderId="19" applyAlignment="1" pivotButton="0" quotePrefix="0" xfId="2">
      <alignment horizontal="center" vertical="center"/>
    </xf>
    <xf numFmtId="168" fontId="7" fillId="2" borderId="18" applyAlignment="1" pivotButton="0" quotePrefix="0" xfId="2">
      <alignment vertical="center"/>
    </xf>
    <xf numFmtId="168" fontId="7" fillId="2" borderId="19" applyAlignment="1" pivotButton="0" quotePrefix="0" xfId="2">
      <alignment vertical="center"/>
    </xf>
    <xf numFmtId="168" fontId="7" fillId="2" borderId="3" applyAlignment="1" pivotButton="0" quotePrefix="0" xfId="2">
      <alignment horizontal="center" vertical="center"/>
    </xf>
    <xf numFmtId="168" fontId="7" fillId="2" borderId="13" applyAlignment="1" pivotButton="0" quotePrefix="0" xfId="2">
      <alignment horizontal="center" vertical="center"/>
    </xf>
    <xf numFmtId="168" fontId="7" fillId="2" borderId="12" applyAlignment="1" pivotButton="0" quotePrefix="0" xfId="2">
      <alignment vertical="center"/>
    </xf>
    <xf numFmtId="168" fontId="7" fillId="2" borderId="13" applyAlignment="1" pivotButton="0" quotePrefix="0" xfId="2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71" fontId="5" fillId="2" borderId="2" applyAlignment="1" pivotButton="0" quotePrefix="0" xfId="4">
      <alignment horizontal="center" vertical="center"/>
    </xf>
    <xf numFmtId="164" fontId="4" fillId="2" borderId="0" applyAlignment="1" pivotButton="0" quotePrefix="0" xfId="4">
      <alignment horizontal="left" vertical="center"/>
    </xf>
    <xf numFmtId="164" fontId="0" fillId="0" borderId="0" applyAlignment="1" pivotButton="0" quotePrefix="0" xfId="4">
      <alignment vertical="center"/>
    </xf>
    <xf numFmtId="0" fontId="0" fillId="0" borderId="51" pivotButton="0" quotePrefix="0" xfId="0"/>
    <xf numFmtId="0" fontId="0" fillId="0" borderId="52" pivotButton="0" quotePrefix="0" xfId="0"/>
    <xf numFmtId="0" fontId="7" fillId="3" borderId="38" applyAlignment="1" pivotButton="0" quotePrefix="0" xfId="4">
      <alignment vertical="center"/>
    </xf>
    <xf numFmtId="0" fontId="0" fillId="0" borderId="34" pivotButton="0" quotePrefix="0" xfId="0"/>
    <xf numFmtId="0" fontId="0" fillId="0" borderId="35" pivotButton="0" quotePrefix="0" xfId="0"/>
    <xf numFmtId="170" fontId="5" fillId="3" borderId="30" applyAlignment="1" pivotButton="0" quotePrefix="0" xfId="7">
      <alignment horizontal="right" vertical="center"/>
    </xf>
    <xf numFmtId="169" fontId="5" fillId="3" borderId="31" applyAlignment="1" pivotButton="0" quotePrefix="0" xfId="1">
      <alignment horizontal="right" vertical="center"/>
    </xf>
    <xf numFmtId="166" fontId="4" fillId="3" borderId="0" applyAlignment="1" pivotButton="0" quotePrefix="0" xfId="4">
      <alignment vertical="center"/>
    </xf>
    <xf numFmtId="0" fontId="0" fillId="0" borderId="27" pivotButton="0" quotePrefix="0" xfId="0"/>
    <xf numFmtId="0" fontId="0" fillId="0" borderId="24" pivotButton="0" quotePrefix="0" xfId="0"/>
    <xf numFmtId="165" fontId="5" fillId="0" borderId="20" applyAlignment="1" pivotButton="0" quotePrefix="0" xfId="4">
      <alignment vertical="center"/>
    </xf>
    <xf numFmtId="165" fontId="5" fillId="0" borderId="41" applyAlignment="1" pivotButton="0" quotePrefix="0" xfId="4">
      <alignment vertical="center"/>
    </xf>
    <xf numFmtId="0" fontId="0" fillId="0" borderId="22" pivotButton="0" quotePrefix="0" xfId="0"/>
    <xf numFmtId="0" fontId="0" fillId="0" borderId="26" pivotButton="0" quotePrefix="0" xfId="0"/>
    <xf numFmtId="0" fontId="0" fillId="0" borderId="54" pivotButton="0" quotePrefix="0" xfId="0"/>
    <xf numFmtId="165" fontId="5" fillId="0" borderId="23" applyAlignment="1" pivotButton="0" quotePrefix="0" xfId="4">
      <alignment vertical="center"/>
    </xf>
    <xf numFmtId="165" fontId="5" fillId="0" borderId="42" applyAlignment="1" pivotButton="0" quotePrefix="0" xfId="4">
      <alignment vertical="center"/>
    </xf>
    <xf numFmtId="0" fontId="13" fillId="0" borderId="28" applyAlignment="1" pivotButton="0" quotePrefix="0" xfId="0">
      <alignment horizontal="left" vertical="center" wrapText="1"/>
    </xf>
    <xf numFmtId="0" fontId="0" fillId="0" borderId="40" pivotButton="0" quotePrefix="0" xfId="0"/>
    <xf numFmtId="0" fontId="13" fillId="0" borderId="28" applyAlignment="1" pivotButton="0" quotePrefix="1" xfId="4">
      <alignment horizontal="left" vertical="center"/>
    </xf>
    <xf numFmtId="165" fontId="4" fillId="3" borderId="0" applyAlignment="1" pivotButton="0" quotePrefix="0" xfId="4">
      <alignment vertical="center"/>
    </xf>
    <xf numFmtId="165" fontId="4" fillId="3" borderId="0" applyAlignment="1" pivotButton="0" quotePrefix="0" xfId="7">
      <alignment vertical="center"/>
    </xf>
    <xf numFmtId="0" fontId="0" fillId="0" borderId="55" pivotButton="0" quotePrefix="0" xfId="0"/>
    <xf numFmtId="0" fontId="0" fillId="0" borderId="56" pivotButton="0" quotePrefix="0" xfId="0"/>
    <xf numFmtId="165" fontId="5" fillId="0" borderId="47" applyAlignment="1" pivotButton="0" quotePrefix="0" xfId="4">
      <alignment vertical="center"/>
    </xf>
    <xf numFmtId="165" fontId="5" fillId="0" borderId="15" applyAlignment="1" pivotButton="0" quotePrefix="0" xfId="4">
      <alignment vertical="center"/>
    </xf>
    <xf numFmtId="168" fontId="7" fillId="2" borderId="49" applyAlignment="1" pivotButton="0" quotePrefix="0" xfId="2">
      <alignment horizontal="center" vertical="center"/>
    </xf>
    <xf numFmtId="0" fontId="0" fillId="0" borderId="19" pivotButton="0" quotePrefix="0" xfId="0"/>
    <xf numFmtId="168" fontId="7" fillId="2" borderId="49" applyAlignment="1" pivotButton="0" quotePrefix="0" xfId="2">
      <alignment vertical="center"/>
    </xf>
    <xf numFmtId="165" fontId="4" fillId="0" borderId="0" applyAlignment="1" pivotButton="0" quotePrefix="0" xfId="2">
      <alignment vertical="center"/>
    </xf>
    <xf numFmtId="168" fontId="7" fillId="2" borderId="13" applyAlignment="1" pivotButton="0" quotePrefix="0" xfId="2">
      <alignment horizontal="center" vertical="center"/>
    </xf>
    <xf numFmtId="0" fontId="0" fillId="0" borderId="13" pivotButton="0" quotePrefix="0" xfId="0"/>
    <xf numFmtId="168" fontId="7" fillId="2" borderId="50" applyAlignment="1" pivotButton="0" quotePrefix="0" xfId="2">
      <alignment vertical="center"/>
    </xf>
    <xf numFmtId="168" fontId="7" fillId="2" borderId="48" applyAlignment="1" pivotButton="0" quotePrefix="0" xfId="2">
      <alignment horizontal="center" vertical="center"/>
    </xf>
    <xf numFmtId="0" fontId="0" fillId="0" borderId="15" pivotButton="0" quotePrefix="0" xfId="0"/>
    <xf numFmtId="168" fontId="7" fillId="2" borderId="48" applyAlignment="1" pivotButton="0" quotePrefix="0" xfId="2">
      <alignment vertical="center"/>
    </xf>
    <xf numFmtId="165" fontId="4" fillId="0" borderId="0" applyAlignment="1" pivotButton="0" quotePrefix="0" xfId="7">
      <alignment vertical="center"/>
    </xf>
    <xf numFmtId="167" fontId="4" fillId="3" borderId="0" applyAlignment="1" pivotButton="0" quotePrefix="0" xfId="7">
      <alignment vertical="center"/>
    </xf>
    <xf numFmtId="165" fontId="4" fillId="0" borderId="0" applyAlignment="1" pivotButton="0" quotePrefix="0" xfId="4">
      <alignment vertical="center"/>
    </xf>
    <xf numFmtId="165" fontId="4" fillId="0" borderId="20" applyAlignment="1" pivotButton="0" quotePrefix="0" xfId="7">
      <alignment vertical="center"/>
    </xf>
    <xf numFmtId="165" fontId="4" fillId="0" borderId="27" applyAlignment="1" pivotButton="0" quotePrefix="0" xfId="7">
      <alignment vertical="center"/>
    </xf>
    <xf numFmtId="165" fontId="4" fillId="0" borderId="24" applyAlignment="1" pivotButton="0" quotePrefix="0" xfId="7">
      <alignment vertical="center"/>
    </xf>
    <xf numFmtId="168" fontId="4" fillId="0" borderId="21" applyAlignment="1" pivotButton="0" quotePrefix="0" xfId="4">
      <alignment vertical="center"/>
    </xf>
    <xf numFmtId="168" fontId="4" fillId="0" borderId="0" applyAlignment="1" pivotButton="0" quotePrefix="0" xfId="4">
      <alignment vertical="center"/>
    </xf>
    <xf numFmtId="165" fontId="4" fillId="0" borderId="23" applyAlignment="1" pivotButton="0" quotePrefix="0" xfId="7">
      <alignment vertical="center"/>
    </xf>
    <xf numFmtId="165" fontId="4" fillId="0" borderId="25" applyAlignment="1" pivotButton="0" quotePrefix="0" xfId="4">
      <alignment vertical="center"/>
    </xf>
    <xf numFmtId="168" fontId="4" fillId="0" borderId="0" applyAlignment="1" pivotButton="0" quotePrefix="0" xfId="7">
      <alignment vertical="center"/>
    </xf>
    <xf numFmtId="168" fontId="4" fillId="0" borderId="25" applyAlignment="1" pivotButton="0" quotePrefix="0" xfId="7">
      <alignment vertical="center"/>
    </xf>
    <xf numFmtId="165" fontId="4" fillId="0" borderId="26" applyAlignment="1" pivotButton="0" quotePrefix="0" xfId="7">
      <alignment vertical="center"/>
    </xf>
  </cellXfs>
  <cellStyles count="8">
    <cellStyle name="표준" xfId="0" builtinId="0"/>
    <cellStyle name="통화 [0]" xfId="1" builtinId="7"/>
    <cellStyle name="쉼표 [0] 2" xfId="2"/>
    <cellStyle name="표준 2 2 2" xfId="3"/>
    <cellStyle name="표준 2_20111117 IR6026LT-TRB_DSNG_글루시스 게이트웨이 셋팅의뢰서" xfId="4"/>
    <cellStyle name="하이퍼링크" xfId="5"/>
    <cellStyle name="하이퍼링크 2" xfId="6"/>
    <cellStyle name="쉼표 [0]" xfId="7" builtinId="6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19050</colOff>
      <row>4</row>
      <rowOff>76200</rowOff>
    </to>
    <pic>
      <nvPicPr>
        <cNvPr id="42" name="그림 5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543175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1123950</colOff>
      <row>3</row>
      <rowOff>114300</rowOff>
    </from>
    <to>
      <col>8</col>
      <colOff>590550</colOff>
      <row>8</row>
      <rowOff>64994</rowOff>
    </to>
    <pic>
      <nvPicPr>
        <cNvPr id="43" name="그림 5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21119704">
          <a:off x="9001125" y="628650"/>
          <a:ext cx="962025" cy="962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19050</colOff>
      <row>4</row>
      <rowOff>76200</rowOff>
    </to>
    <pic>
      <nvPicPr>
        <cNvPr id="42" name="그림 5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543175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1123950</colOff>
      <row>3</row>
      <rowOff>114300</rowOff>
    </from>
    <to>
      <col>8</col>
      <colOff>590550</colOff>
      <row>8</row>
      <rowOff>64994</rowOff>
    </to>
    <pic>
      <nvPicPr>
        <cNvPr id="43" name="그림 5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21119704">
          <a:off x="9001125" y="628650"/>
          <a:ext cx="962025" cy="960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147483647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ustomer@example.com" TargetMode="External" Id="rId1"/><Relationship Type="http://schemas.openxmlformats.org/officeDocument/2006/relationships/hyperlink" Target="http://www.xdnode.co.kr/" TargetMode="External" Id="rId2"/><Relationship Type="http://schemas.openxmlformats.org/officeDocument/2006/relationships/hyperlink" Target="mailto:staff@example.com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mailto:customer@example.com" TargetMode="External" Id="rId1"/><Relationship Type="http://schemas.openxmlformats.org/officeDocument/2006/relationships/hyperlink" Target="http://www.xdnode.co.kr/" TargetMode="External" Id="rId2"/><Relationship Type="http://schemas.openxmlformats.org/officeDocument/2006/relationships/hyperlink" Target="mailto:staff@example.com" TargetMode="External" Id="rId3"/><Relationship Type="http://schemas.openxmlformats.org/officeDocument/2006/relationships/drawing" Target="/xl/drawings/drawing2.xml" Id="rId4"/></Relationships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K37"/>
  <sheetViews>
    <sheetView tabSelected="1" view="pageBreakPreview" topLeftCell="A21" zoomScale="85" zoomScaleNormal="100" zoomScaleSheetLayoutView="85" workbookViewId="0">
      <selection activeCell="M23" sqref="M23"/>
    </sheetView>
  </sheetViews>
  <sheetFormatPr baseColWidth="8" defaultColWidth="9" defaultRowHeight="13.5"/>
  <cols>
    <col width="4.25" customWidth="1" style="24" min="1" max="1"/>
    <col width="14.625" customWidth="1" style="24" min="2" max="2"/>
    <col width="14.25" customWidth="1" style="2" min="3" max="3"/>
    <col width="6" customWidth="1" style="2" min="4" max="4"/>
    <col width="52.375" customWidth="1" style="2" min="5" max="5"/>
    <col width="5.875" customWidth="1" style="2" min="6" max="6"/>
    <col width="6" customWidth="1" style="2" min="7" max="7"/>
    <col width="19.625" customWidth="1" style="2" min="8" max="9"/>
    <col width="3.125" customWidth="1" style="2" min="10" max="10"/>
    <col width="11.875" bestFit="1" customWidth="1" style="2" min="11" max="11"/>
    <col width="9" customWidth="1" style="2" min="12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.5" customHeight="1" s="122">
      <c r="A2" s="106" t="inlineStr">
        <is>
          <t>견     적     서</t>
        </is>
      </c>
    </row>
    <row r="3" ht="13.5" customHeight="1" s="122"/>
    <row r="4" ht="12" customHeight="1" s="122" thickBo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14.25" customHeight="1" s="122" thickTop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15" customHeight="1" s="122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18.75" customHeight="1" s="122">
      <c r="A7" s="1" t="inlineStr">
        <is>
          <t>TO.</t>
        </is>
      </c>
      <c r="B7" s="107"/>
      <c r="C7" s="123" t="n"/>
      <c r="D7" s="1" t="inlineStr">
        <is>
          <t>귀중</t>
        </is>
      </c>
      <c r="E7" s="1" t="n"/>
      <c r="F7" s="1" t="n"/>
      <c r="G7" s="4" t="inlineStr">
        <is>
          <t>상      호.</t>
        </is>
      </c>
      <c r="H7" s="5" t="inlineStr">
        <is>
          <t>(주)엑스디노드</t>
        </is>
      </c>
      <c r="I7" s="6" t="n"/>
    </row>
    <row r="8" ht="20.1" customHeight="1" s="122">
      <c r="A8" s="1" t="inlineStr">
        <is>
          <t>CC.</t>
        </is>
      </c>
      <c r="B8" s="107"/>
      <c r="C8" s="123" t="n"/>
      <c r="D8" s="1" t="inlineStr">
        <is>
          <t>귀하</t>
        </is>
      </c>
      <c r="E8" s="1" t="n"/>
      <c r="F8" s="1" t="n"/>
      <c r="G8" s="4" t="inlineStr">
        <is>
          <t>사업자번호</t>
        </is>
      </c>
      <c r="H8" s="8" t="inlineStr">
        <is>
          <t>393-86-02729</t>
        </is>
      </c>
      <c r="I8" s="7" t="n"/>
    </row>
    <row r="9" ht="20.1" customHeight="1" s="122">
      <c r="A9" s="1" t="inlineStr">
        <is>
          <t>Tel.</t>
        </is>
      </c>
      <c r="B9" s="108"/>
      <c r="C9" s="124" t="n"/>
      <c r="D9" s="1" t="n"/>
      <c r="E9" s="1" t="n"/>
      <c r="F9" s="1" t="n"/>
      <c r="G9" s="4" t="inlineStr">
        <is>
          <t>주소 :</t>
        </is>
      </c>
      <c r="H9" s="8" t="inlineStr">
        <is>
          <t>서울시 성동구 성수일로 89, 5층 501, 505호</t>
        </is>
      </c>
      <c r="I9" s="7" t="n"/>
    </row>
    <row r="10" ht="20.1" customHeight="1" s="122">
      <c r="A10" s="1" t="inlineStr">
        <is>
          <t>Mail.</t>
        </is>
      </c>
      <c r="B10" s="109"/>
      <c r="C10" s="124" t="n"/>
      <c r="D10" s="1" t="n"/>
      <c r="E10" s="1" t="n"/>
      <c r="F10" s="1" t="n"/>
      <c r="G10" s="4" t="inlineStr">
        <is>
          <t xml:space="preserve">Tel : </t>
        </is>
      </c>
      <c r="H10" s="8" t="inlineStr">
        <is>
          <t>02-6671-9000</t>
        </is>
      </c>
      <c r="I10" s="7" t="n"/>
    </row>
    <row r="11" ht="20.1" customHeight="1" s="122">
      <c r="A11" s="1" t="n"/>
      <c r="B11" s="94" t="n"/>
      <c r="D11" s="1" t="n"/>
      <c r="E11" s="1" t="n"/>
      <c r="F11" s="1" t="n"/>
      <c r="G11" s="4" t="inlineStr">
        <is>
          <t>홈페이지</t>
        </is>
      </c>
      <c r="H11" s="32" t="inlineStr">
        <is>
          <t>www.xdnode.co.kr</t>
        </is>
      </c>
      <c r="I11" s="7" t="n"/>
    </row>
    <row r="12" ht="20.1" customHeight="1" s="122">
      <c r="A12" s="1" t="n"/>
      <c r="B12" s="0" t="n"/>
      <c r="C12" s="1" t="n"/>
      <c r="D12" s="1" t="n"/>
      <c r="E12" s="1" t="n"/>
      <c r="F12" s="1" t="n"/>
      <c r="G12" s="4" t="n"/>
      <c r="H12" s="27" t="n"/>
      <c r="I12" s="1" t="n"/>
    </row>
    <row r="13" ht="20.1" customHeight="1" s="122">
      <c r="A13" s="9" t="inlineStr">
        <is>
          <t>금액</t>
        </is>
      </c>
      <c r="B13" s="125">
        <f>H32</f>
        <v/>
      </c>
      <c r="C13" s="123" t="n"/>
      <c r="D13" s="123" t="n"/>
      <c r="E13" s="1" t="inlineStr">
        <is>
          <t>(VAT포함가)</t>
        </is>
      </c>
      <c r="F13" s="1" t="n"/>
      <c r="G13" s="4" t="n"/>
      <c r="H13" s="1" t="n"/>
      <c r="I13" s="1" t="n"/>
    </row>
    <row r="14" ht="20.1" customHeight="1" s="122">
      <c r="A14" s="1" t="inlineStr">
        <is>
          <t>견적유효기간 : 견적 후 1주 이내 (직인생략)</t>
        </is>
      </c>
      <c r="B14" s="1" t="n"/>
      <c r="C14" s="1" t="n"/>
      <c r="D14" s="1" t="n"/>
      <c r="E14" s="1" t="n"/>
      <c r="F14" s="1" t="n"/>
      <c r="G14" s="4" t="inlineStr">
        <is>
          <t>작 성 일 :</t>
        </is>
      </c>
      <c r="H14" s="126" t="n">
        <v>46282</v>
      </c>
      <c r="I14" s="127" t="n"/>
    </row>
    <row r="15" ht="20.1" customHeight="1" s="122">
      <c r="A15" s="1" t="inlineStr">
        <is>
          <t>납품기일 : 협의 후 결정</t>
        </is>
      </c>
      <c r="B15" s="1" t="n"/>
      <c r="C15" s="1" t="n"/>
      <c r="D15" s="1" t="n"/>
      <c r="E15" s="1" t="n"/>
      <c r="F15" s="1" t="n"/>
      <c r="G15" s="4" t="inlineStr">
        <is>
          <t>담 당 자 :</t>
        </is>
      </c>
      <c r="H15" s="13" t="inlineStr">
        <is>
          <t>담당자 팀장</t>
        </is>
      </c>
      <c r="I15" s="12" t="n"/>
    </row>
    <row r="16" ht="20.1" customHeight="1" s="122">
      <c r="A16" s="12" t="inlineStr">
        <is>
          <t>결제조건 : 현금결제</t>
        </is>
      </c>
      <c r="B16" s="1" t="n"/>
      <c r="C16" s="1" t="n"/>
      <c r="D16" s="1" t="n"/>
      <c r="E16" s="1" t="n"/>
      <c r="F16" s="1" t="n"/>
      <c r="G16" s="4" t="inlineStr">
        <is>
          <t>연 락 처 :</t>
        </is>
      </c>
      <c r="H16" s="13" t="inlineStr">
        <is>
          <t>010-1234-5678</t>
        </is>
      </c>
      <c r="I16" s="1" t="n"/>
    </row>
    <row r="17" ht="20.1" customHeight="1" s="122">
      <c r="A17" s="12" t="inlineStr">
        <is>
          <t>납품장소 : 귀사 지정 장소</t>
        </is>
      </c>
      <c r="B17" s="1" t="n"/>
      <c r="C17" s="1" t="n"/>
      <c r="D17" s="0" t="n"/>
      <c r="E17" s="1" t="n"/>
      <c r="F17" s="1" t="n"/>
      <c r="G17" s="4" t="inlineStr">
        <is>
          <t>이 메 일 :</t>
        </is>
      </c>
      <c r="H17" s="33" t="inlineStr">
        <is>
          <t>staff@example.com</t>
        </is>
      </c>
      <c r="I17" s="1" t="n"/>
    </row>
    <row r="18" ht="20.1" customHeight="1" s="122">
      <c r="A18" s="14" t="n"/>
      <c r="B18" s="1" t="n"/>
      <c r="C18" s="1" t="n"/>
      <c r="D18" s="1" t="n"/>
      <c r="E18" s="1" t="n"/>
      <c r="F18" s="1" t="n"/>
      <c r="G18" s="4" t="n"/>
      <c r="H18" s="15" t="n"/>
      <c r="I18" s="1" t="n"/>
    </row>
    <row r="19" ht="20.1" customHeight="1" s="122">
      <c r="A19" s="14" t="n"/>
      <c r="B19" s="34" t="n"/>
      <c r="C19" s="12" t="n"/>
      <c r="D19" s="12" t="n"/>
      <c r="E19" s="0" t="n"/>
      <c r="F19" s="12" t="n"/>
      <c r="G19" s="12" t="n"/>
      <c r="H19" s="12" t="n"/>
      <c r="I19" s="12" t="n"/>
    </row>
    <row r="20" ht="24.95" customHeight="1" s="122" thickBot="1">
      <c r="A20" s="16" t="n"/>
      <c r="B20" s="9" t="n"/>
      <c r="C20" s="12" t="n"/>
      <c r="D20" s="12" t="n"/>
      <c r="E20" s="12" t="n"/>
      <c r="F20" s="12" t="n"/>
      <c r="G20" s="12" t="n"/>
      <c r="H20" s="12" t="n"/>
      <c r="I20" s="16" t="n"/>
    </row>
    <row r="21" ht="37.5" customFormat="1" customHeight="1" s="18" thickBot="1" thickTop="1">
      <c r="A21" s="42" t="inlineStr">
        <is>
          <t>NO.</t>
        </is>
      </c>
      <c r="B21" s="97" t="inlineStr">
        <is>
          <t>품목명</t>
        </is>
      </c>
      <c r="C21" s="97" t="inlineStr">
        <is>
          <t>제품사양</t>
        </is>
      </c>
      <c r="D21" s="128" t="n"/>
      <c r="E21" s="129" t="n"/>
      <c r="F21" s="36" t="inlineStr">
        <is>
          <t>수량</t>
        </is>
      </c>
      <c r="G21" s="35" t="inlineStr">
        <is>
          <t>세트</t>
        </is>
      </c>
      <c r="H21" s="17" t="inlineStr">
        <is>
          <t>단가</t>
        </is>
      </c>
      <c r="I21" s="26" t="inlineStr">
        <is>
          <t>금액</t>
        </is>
      </c>
    </row>
    <row r="22" ht="29.25" customFormat="1" customHeight="1" s="30">
      <c r="A22" s="57" t="inlineStr">
        <is>
          <t>A</t>
        </is>
      </c>
      <c r="B22" s="58" t="inlineStr">
        <is>
          <t>Server</t>
        </is>
      </c>
      <c r="C22" s="130" t="inlineStr">
        <is>
          <t xml:space="preserve"> Gigabyte Server System G494-SB0-AAP2</t>
        </is>
      </c>
      <c r="D22" s="131" t="n"/>
      <c r="E22" s="132" t="n"/>
      <c r="F22" s="59" t="n"/>
      <c r="G22" s="51" t="n">
        <v>1</v>
      </c>
      <c r="H22" s="133" t="n">
        <v>278700000</v>
      </c>
      <c r="I22" s="134" t="n">
        <v>278700000</v>
      </c>
      <c r="J22" s="135" t="n"/>
    </row>
    <row r="23" ht="99.95" customFormat="1" customHeight="1" s="30">
      <c r="A23" s="65" t="n">
        <v>1</v>
      </c>
      <c r="B23" s="61" t="inlineStr">
        <is>
          <t>Chassis</t>
        </is>
      </c>
      <c r="C23" s="90" t="inlineStr">
        <is>
          <t>Gigabyte Server System G494-SB0-AAP2
Supports up to 8 x Dual slot Gen5 GPUs
Conditionally supports 8 x NVIDIA H200 NVL PCIe GPUs with 4-way NVLink bridges*
Dual Intel® Xeon® 6700/6500-Series Processors
8-Channel DDR5 RDIMM / MRDIMM, 32 x DIMMs
Dual ROM Architecture
2 x 10Gb/s LAN ports via Intel® X710-AT2
8 x 2.5" Gen5 NVMe/SATA/SAS-4 hot-swap bays
4 x 2.5" SATA/SAS-4 hot-swap bays
8 x FHFL PCIe Gen5 x16 slots for GPUs
1 x FHHL PCIe Gen5 x8 slot on the front side
Quad 3000W 80 PLUS Titanium redundant power supply
1x MegaRaid 9500-8i + SFF-8654 (SlimSAS) to 2 X MCIO x4</t>
        </is>
      </c>
      <c r="D23" s="136" t="n"/>
      <c r="E23" s="137" t="n"/>
      <c r="F23" s="87" t="n">
        <v>1</v>
      </c>
      <c r="G23" s="86" t="n"/>
      <c r="H23" s="138" t="n"/>
      <c r="I23" s="139" t="n"/>
      <c r="J23" s="135" t="n"/>
    </row>
    <row r="24" ht="107.25" customFormat="1" customHeight="1" s="30">
      <c r="A24" s="65" t="n">
        <v>2</v>
      </c>
      <c r="B24" s="61" t="inlineStr">
        <is>
          <t>Board</t>
        </is>
      </c>
      <c r="C24" s="140" t="n"/>
      <c r="D24" s="123" t="n"/>
      <c r="E24" s="141" t="n"/>
      <c r="F24" s="142" t="n"/>
      <c r="G24" s="142" t="n"/>
      <c r="H24" s="143" t="n"/>
      <c r="I24" s="144" t="n"/>
      <c r="J24" s="135" t="n"/>
    </row>
    <row r="25" ht="29.25" customFormat="1" customHeight="1" s="30">
      <c r="A25" s="65" t="n">
        <v>3</v>
      </c>
      <c r="B25" s="61" t="inlineStr">
        <is>
          <t xml:space="preserve">CPU </t>
        </is>
      </c>
      <c r="C25" s="145" t="inlineStr">
        <is>
          <t xml:space="preserve"> Intel® Xeon® 6 6515P</t>
        </is>
      </c>
      <c r="D25" s="124" t="n"/>
      <c r="E25" s="146" t="n"/>
      <c r="F25" s="87" t="n">
        <v>2</v>
      </c>
      <c r="G25" s="52" t="n"/>
      <c r="H25" s="143" t="n"/>
      <c r="I25" s="144" t="n"/>
      <c r="J25" s="135" t="n"/>
    </row>
    <row r="26" ht="29.25" customFormat="1" customHeight="1" s="30">
      <c r="A26" s="65" t="n">
        <v>4</v>
      </c>
      <c r="B26" s="61" t="inlineStr">
        <is>
          <t>RAM</t>
        </is>
      </c>
      <c r="C26" s="147" t="inlineStr">
        <is>
          <t xml:space="preserve"> 64GB DDR5 ECC-RDIMM</t>
        </is>
      </c>
      <c r="D26" s="124" t="n"/>
      <c r="E26" s="146" t="n"/>
      <c r="F26" s="87" t="n">
        <v>16</v>
      </c>
      <c r="G26" s="52" t="n"/>
      <c r="H26" s="143" t="n"/>
      <c r="I26" s="144" t="n"/>
      <c r="J26" s="135" t="n"/>
      <c r="K26" s="148" t="n"/>
    </row>
    <row r="27" ht="29.25" customFormat="1" customHeight="1" s="30">
      <c r="A27" s="65" t="n">
        <v>5</v>
      </c>
      <c r="B27" s="61" t="inlineStr">
        <is>
          <t>SSD</t>
        </is>
      </c>
      <c r="C27" s="147" t="inlineStr">
        <is>
          <t xml:space="preserve"> 삼성전자 PM9A3 U.2 3.84TB</t>
        </is>
      </c>
      <c r="D27" s="124" t="n"/>
      <c r="E27" s="146" t="n"/>
      <c r="F27" s="87" t="n">
        <v>2</v>
      </c>
      <c r="G27" s="52" t="n"/>
      <c r="H27" s="143" t="n"/>
      <c r="I27" s="144" t="n"/>
      <c r="J27" s="135" t="n"/>
      <c r="K27" s="149" t="n"/>
    </row>
    <row r="28" hidden="1" ht="29.25" customFormat="1" customHeight="1" s="30">
      <c r="A28" s="75" t="n">
        <v>5</v>
      </c>
      <c r="B28" s="76" t="inlineStr">
        <is>
          <t>GPU</t>
        </is>
      </c>
      <c r="C28" s="102" t="inlineStr">
        <is>
          <t xml:space="preserve"> NVIDIA PRO 6000 Server Edition</t>
        </is>
      </c>
      <c r="D28" s="136" t="n"/>
      <c r="E28" s="137" t="n"/>
      <c r="F28" s="77" t="n">
        <v>8</v>
      </c>
      <c r="G28" s="78" t="n"/>
      <c r="H28" s="143" t="n"/>
      <c r="I28" s="144" t="n"/>
      <c r="J28" s="135" t="n"/>
    </row>
    <row r="29" ht="29.25" customFormat="1" customHeight="1" s="30" thickBot="1">
      <c r="A29" s="79" t="n">
        <v>6</v>
      </c>
      <c r="B29" s="80" t="inlineStr">
        <is>
          <t>GPU</t>
        </is>
      </c>
      <c r="C29" s="88" t="inlineStr">
        <is>
          <t xml:space="preserve"> NVIDIA RTX PRO 6000 Blackwell Server Edition</t>
        </is>
      </c>
      <c r="D29" s="150" t="n"/>
      <c r="E29" s="151" t="n"/>
      <c r="F29" s="81" t="n">
        <v>8</v>
      </c>
      <c r="G29" s="82" t="n"/>
      <c r="H29" s="152" t="n"/>
      <c r="I29" s="153" t="n"/>
      <c r="J29" s="135" t="n"/>
      <c r="K29" s="149" t="n"/>
    </row>
    <row r="30" ht="27.75" customHeight="1" s="122" thickTop="1">
      <c r="A30" s="44" t="inlineStr">
        <is>
          <t>* Remark</t>
        </is>
      </c>
      <c r="B30" s="62" t="n"/>
      <c r="C30" s="63" t="n"/>
      <c r="D30" s="63" t="n"/>
      <c r="E30" s="20" t="n"/>
      <c r="F30" s="154" t="inlineStr">
        <is>
          <t>소       액</t>
        </is>
      </c>
      <c r="G30" s="155" t="n"/>
      <c r="H30" s="156" t="n">
        <v>278700000</v>
      </c>
      <c r="I30" s="155" t="n"/>
      <c r="J30" s="157" t="n"/>
    </row>
    <row r="31" ht="27.75" customHeight="1" s="122">
      <c r="A31" s="29" t="inlineStr">
        <is>
          <t>- 3년 무상 보증</t>
        </is>
      </c>
      <c r="B31" s="64" t="n"/>
      <c r="C31" s="63" t="n"/>
      <c r="D31" s="63" t="n"/>
      <c r="E31" s="85" t="n"/>
      <c r="F31" s="158" t="inlineStr">
        <is>
          <t>세       액</t>
        </is>
      </c>
      <c r="G31" s="159" t="n"/>
      <c r="H31" s="160" t="n">
        <v>27870000</v>
      </c>
      <c r="I31" s="159" t="n"/>
      <c r="J31" s="157" t="n"/>
    </row>
    <row r="32" ht="27.75" customHeight="1" s="122" thickBot="1">
      <c r="A32" s="28" t="inlineStr">
        <is>
          <t>계좌번호 : 국민은행 062037-04-007843  예금주 : ㈜엑스디노드</t>
        </is>
      </c>
      <c r="B32" s="21" t="n"/>
      <c r="C32" s="22" t="n"/>
      <c r="D32" s="22" t="n"/>
      <c r="E32" s="23" t="n"/>
      <c r="F32" s="161" t="inlineStr">
        <is>
          <t>총       액</t>
        </is>
      </c>
      <c r="G32" s="162" t="n"/>
      <c r="H32" s="163" t="n">
        <v>306570000</v>
      </c>
      <c r="I32" s="162" t="n"/>
      <c r="J32" s="157" t="n"/>
    </row>
    <row r="33" ht="29.25" customHeight="1" s="122" thickTop="1">
      <c r="A33" s="2" t="n"/>
      <c r="B33" s="2" t="n"/>
    </row>
    <row r="34" ht="29.25" customHeight="1" s="122">
      <c r="A34" s="2" t="n"/>
      <c r="B34" s="2" t="n"/>
      <c r="I34" s="164" t="n"/>
    </row>
    <row r="35" ht="29.25" customHeight="1" s="122">
      <c r="A35" s="2" t="n"/>
      <c r="B35" s="2" t="n"/>
      <c r="I35" s="164" t="n"/>
    </row>
    <row r="36" ht="30" customHeight="1" s="122">
      <c r="A36" s="2" t="n"/>
      <c r="B36" s="2" t="n"/>
    </row>
    <row r="37" ht="30" customHeight="1" s="122">
      <c r="A37" s="2" t="n"/>
      <c r="B37" s="2" t="n"/>
    </row>
  </sheetData>
  <mergeCells count="23">
    <mergeCell ref="G23:G24"/>
    <mergeCell ref="B7:C7"/>
    <mergeCell ref="C22:E22"/>
    <mergeCell ref="B13:D13"/>
    <mergeCell ref="H31:I31"/>
    <mergeCell ref="C21:E21"/>
    <mergeCell ref="H30:I30"/>
    <mergeCell ref="F30:G30"/>
    <mergeCell ref="C27:E27"/>
    <mergeCell ref="B11:C11"/>
    <mergeCell ref="F32:G32"/>
    <mergeCell ref="F23:F24"/>
    <mergeCell ref="B8:C8"/>
    <mergeCell ref="C28:E28"/>
    <mergeCell ref="H32:I32"/>
    <mergeCell ref="B10:C10"/>
    <mergeCell ref="F31:G31"/>
    <mergeCell ref="B9:C9"/>
    <mergeCell ref="A2:I3"/>
    <mergeCell ref="C23:E24"/>
    <mergeCell ref="C26:E26"/>
    <mergeCell ref="C29:E29"/>
    <mergeCell ref="C25:E25"/>
  </mergeCells>
  <hyperlinks>
    <hyperlink xmlns:r="http://schemas.openxmlformats.org/officeDocument/2006/relationships" ref="B10" r:id="rId1"/>
    <hyperlink xmlns:r="http://schemas.openxmlformats.org/officeDocument/2006/relationships" ref="H11" r:id="rId2"/>
    <hyperlink xmlns:r="http://schemas.openxmlformats.org/officeDocument/2006/relationships" ref="H17" r:id="rId3"/>
  </hyperlinks>
  <printOptions horizontalCentered="1"/>
  <pageMargins left="0.3934722244739532" right="0.3934722244739532" top="0.7869444489479065" bottom="0.7086111307144165" header="0" footer="0"/>
  <pageSetup orientation="portrait" paperSize="9" scale="56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R39"/>
  <sheetViews>
    <sheetView view="pageBreakPreview" topLeftCell="A15" zoomScale="85" zoomScaleNormal="100" zoomScaleSheetLayoutView="85" workbookViewId="0">
      <selection activeCell="L23" sqref="L23"/>
    </sheetView>
  </sheetViews>
  <sheetFormatPr baseColWidth="8" defaultColWidth="9" defaultRowHeight="13.5"/>
  <cols>
    <col width="4.25" customWidth="1" style="24" min="1" max="1"/>
    <col width="14.625" customWidth="1" style="24" min="2" max="2"/>
    <col width="14.25" customWidth="1" style="2" min="3" max="3"/>
    <col width="6" customWidth="1" style="2" min="4" max="4"/>
    <col width="52.375" customWidth="1" style="2" min="5" max="5"/>
    <col width="5.875" customWidth="1" style="2" min="6" max="6"/>
    <col width="6" customWidth="1" style="2" min="7" max="7"/>
    <col width="19.625" customWidth="1" style="2" min="8" max="9"/>
    <col width="3.125" customWidth="1" style="2" min="10" max="10"/>
    <col width="14.25" bestFit="1" customWidth="1" style="2" min="11" max="11"/>
    <col width="11.875" bestFit="1" customWidth="1" style="2" min="12" max="12"/>
    <col width="11.5" bestFit="1" customWidth="1" style="2" min="13" max="17"/>
    <col width="11.875" bestFit="1" customWidth="1" style="2" min="18" max="18"/>
    <col width="9" customWidth="1" style="2" min="19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.5" customHeight="1" s="122">
      <c r="A2" s="106" t="inlineStr">
        <is>
          <t>견     적     서</t>
        </is>
      </c>
    </row>
    <row r="3" ht="13.5" customHeight="1" s="122"/>
    <row r="4" ht="12" customHeight="1" s="122" thickBo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14.25" customHeight="1" s="122" thickTop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15" customHeight="1" s="122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18.75" customHeight="1" s="122">
      <c r="A7" s="1" t="inlineStr">
        <is>
          <t>TO.</t>
        </is>
      </c>
      <c r="B7" s="107"/>
      <c r="C7" s="123" t="n"/>
      <c r="D7" s="1" t="inlineStr">
        <is>
          <t>귀중</t>
        </is>
      </c>
      <c r="E7" s="1" t="n"/>
      <c r="F7" s="1" t="n"/>
      <c r="G7" s="4" t="inlineStr">
        <is>
          <t>상      호.</t>
        </is>
      </c>
      <c r="H7" s="5" t="inlineStr">
        <is>
          <t>(주)엑스디노드</t>
        </is>
      </c>
      <c r="I7" s="6" t="n"/>
    </row>
    <row r="8" ht="20.1" customHeight="1" s="122">
      <c r="A8" s="1" t="inlineStr">
        <is>
          <t>CC.</t>
        </is>
      </c>
      <c r="B8" s="107"/>
      <c r="C8" s="123" t="n"/>
      <c r="D8" s="1" t="inlineStr">
        <is>
          <t>귀하</t>
        </is>
      </c>
      <c r="E8" s="1" t="n"/>
      <c r="F8" s="1" t="n"/>
      <c r="G8" s="4" t="inlineStr">
        <is>
          <t>사업자번호</t>
        </is>
      </c>
      <c r="H8" s="8" t="inlineStr">
        <is>
          <t>393-86-02729</t>
        </is>
      </c>
      <c r="I8" s="7" t="n"/>
      <c r="M8" s="43" t="n"/>
    </row>
    <row r="9" ht="20.1" customHeight="1" s="122">
      <c r="A9" s="1" t="inlineStr">
        <is>
          <t>Tel.</t>
        </is>
      </c>
      <c r="B9" s="108"/>
      <c r="C9" s="124" t="n"/>
      <c r="D9" s="1" t="n"/>
      <c r="E9" s="1" t="n"/>
      <c r="F9" s="1" t="n"/>
      <c r="G9" s="4" t="inlineStr">
        <is>
          <t>주소 :</t>
        </is>
      </c>
      <c r="H9" s="8" t="inlineStr">
        <is>
          <t>서울시 성동구 성수일로 89, 5층 501, 505호</t>
        </is>
      </c>
      <c r="I9" s="7" t="n"/>
    </row>
    <row r="10" ht="20.1" customHeight="1" s="122">
      <c r="A10" s="1" t="inlineStr">
        <is>
          <t>Mail.</t>
        </is>
      </c>
      <c r="B10" s="109"/>
      <c r="C10" s="124" t="n"/>
      <c r="D10" s="1" t="n"/>
      <c r="E10" s="1" t="n"/>
      <c r="F10" s="1" t="n"/>
      <c r="G10" s="4" t="inlineStr">
        <is>
          <t xml:space="preserve">Tel : </t>
        </is>
      </c>
      <c r="H10" s="8" t="inlineStr">
        <is>
          <t>02-6671-9000</t>
        </is>
      </c>
      <c r="I10" s="7" t="n"/>
    </row>
    <row r="11" ht="20.1" customHeight="1" s="122">
      <c r="A11" s="1" t="n"/>
      <c r="B11" s="94" t="n"/>
      <c r="D11" s="1" t="n"/>
      <c r="E11" s="1" t="n"/>
      <c r="F11" s="1" t="n"/>
      <c r="G11" s="4" t="inlineStr">
        <is>
          <t>홈페이지</t>
        </is>
      </c>
      <c r="H11" s="32" t="inlineStr">
        <is>
          <t>www.xdnode.co.kr</t>
        </is>
      </c>
      <c r="I11" s="7" t="n"/>
    </row>
    <row r="12" ht="20.1" customHeight="1" s="122">
      <c r="A12" s="1" t="n"/>
      <c r="B12" s="0" t="n"/>
      <c r="C12" s="1" t="n"/>
      <c r="D12" s="1" t="n"/>
      <c r="E12" s="1" t="n"/>
      <c r="F12" s="1" t="n"/>
      <c r="G12" s="4" t="n"/>
      <c r="H12" s="27" t="n"/>
      <c r="I12" s="1" t="n"/>
    </row>
    <row r="13" ht="20.1" customHeight="1" s="122">
      <c r="A13" s="9" t="inlineStr">
        <is>
          <t>금액</t>
        </is>
      </c>
      <c r="B13" s="125">
        <f>H32</f>
        <v/>
      </c>
      <c r="C13" s="123" t="n"/>
      <c r="D13" s="123" t="n"/>
      <c r="E13" s="1" t="inlineStr">
        <is>
          <t>(VAT포함가)</t>
        </is>
      </c>
      <c r="F13" s="1" t="n"/>
      <c r="G13" s="4" t="n"/>
      <c r="H13" s="1" t="n"/>
      <c r="I13" s="1" t="n"/>
    </row>
    <row r="14" ht="20.1" customHeight="1" s="122">
      <c r="A14" s="1" t="inlineStr">
        <is>
          <t>견적유효기간 : 견적 후 1주 이내 (직인생략)</t>
        </is>
      </c>
      <c r="B14" s="1" t="n"/>
      <c r="C14" s="1" t="n"/>
      <c r="D14" s="1" t="n"/>
      <c r="E14" s="1" t="n"/>
      <c r="F14" s="1" t="n"/>
      <c r="G14" s="4" t="inlineStr">
        <is>
          <t>작 성 일 :</t>
        </is>
      </c>
      <c r="H14" s="126" t="n">
        <v>46282</v>
      </c>
      <c r="I14" s="127" t="n"/>
    </row>
    <row r="15" ht="20.1" customHeight="1" s="122">
      <c r="A15" s="1" t="inlineStr">
        <is>
          <t>납품기일 : 협의 후 결정</t>
        </is>
      </c>
      <c r="B15" s="1" t="n"/>
      <c r="C15" s="1" t="n"/>
      <c r="D15" s="1" t="n"/>
      <c r="E15" s="1" t="n"/>
      <c r="F15" s="1" t="n"/>
      <c r="G15" s="4" t="inlineStr">
        <is>
          <t>담 당 자 :</t>
        </is>
      </c>
      <c r="H15" s="13" t="inlineStr">
        <is>
          <t>담당자 팀장</t>
        </is>
      </c>
      <c r="I15" s="12" t="n"/>
    </row>
    <row r="16" ht="20.1" customHeight="1" s="122">
      <c r="A16" s="12" t="inlineStr">
        <is>
          <t>결제조건 : 현금결제</t>
        </is>
      </c>
      <c r="B16" s="1" t="n"/>
      <c r="C16" s="1" t="n"/>
      <c r="D16" s="1" t="n"/>
      <c r="E16" s="1" t="n"/>
      <c r="F16" s="1" t="n"/>
      <c r="G16" s="4" t="inlineStr">
        <is>
          <t>연 락 처 :</t>
        </is>
      </c>
      <c r="H16" s="13" t="inlineStr">
        <is>
          <t>010-1234-5678</t>
        </is>
      </c>
      <c r="I16" s="1" t="n"/>
    </row>
    <row r="17" ht="20.1" customHeight="1" s="122">
      <c r="A17" s="12" t="inlineStr">
        <is>
          <t>납품장소 : 귀사 지정 장소</t>
        </is>
      </c>
      <c r="B17" s="1" t="n"/>
      <c r="C17" s="1" t="n"/>
      <c r="D17" s="0" t="n"/>
      <c r="E17" s="1" t="n"/>
      <c r="F17" s="1" t="n"/>
      <c r="G17" s="4" t="inlineStr">
        <is>
          <t>이 메 일 :</t>
        </is>
      </c>
      <c r="H17" s="33" t="inlineStr">
        <is>
          <t>staff@example.com</t>
        </is>
      </c>
      <c r="I17" s="1" t="n"/>
    </row>
    <row r="18" ht="20.1" customHeight="1" s="122">
      <c r="A18" s="14" t="n"/>
      <c r="B18" s="1" t="n"/>
      <c r="C18" s="1" t="n"/>
      <c r="D18" s="1" t="n"/>
      <c r="E18" s="1" t="n"/>
      <c r="F18" s="1" t="n"/>
      <c r="G18" s="4" t="n"/>
      <c r="H18" s="15" t="n"/>
      <c r="I18" s="1" t="n"/>
    </row>
    <row r="19" ht="20.1" customHeight="1" s="122">
      <c r="A19" s="14" t="n"/>
      <c r="B19" s="34" t="n"/>
      <c r="C19" s="12" t="n"/>
      <c r="D19" s="12" t="n"/>
      <c r="E19" s="0" t="n"/>
      <c r="F19" s="12" t="n"/>
      <c r="G19" s="12" t="n"/>
      <c r="H19" s="12" t="n"/>
      <c r="I19" s="12" t="n"/>
    </row>
    <row r="20" ht="24.95" customHeight="1" s="122" thickBot="1">
      <c r="A20" s="16" t="n"/>
      <c r="B20" s="9" t="n"/>
      <c r="C20" s="12" t="n"/>
      <c r="D20" s="12" t="n"/>
      <c r="E20" s="12" t="n"/>
      <c r="F20" s="12" t="n"/>
      <c r="G20" s="12" t="n"/>
      <c r="H20" s="12" t="n"/>
      <c r="I20" s="16" t="n"/>
    </row>
    <row r="21" ht="37.5" customFormat="1" customHeight="1" s="18" thickBot="1" thickTop="1">
      <c r="A21" s="42" t="inlineStr">
        <is>
          <t>NO.</t>
        </is>
      </c>
      <c r="B21" s="97" t="inlineStr">
        <is>
          <t>품목명</t>
        </is>
      </c>
      <c r="C21" s="97" t="inlineStr">
        <is>
          <t>제품사양</t>
        </is>
      </c>
      <c r="D21" s="128" t="n"/>
      <c r="E21" s="129" t="n"/>
      <c r="F21" s="36" t="inlineStr">
        <is>
          <t>수량</t>
        </is>
      </c>
      <c r="G21" s="35" t="inlineStr">
        <is>
          <t>세트</t>
        </is>
      </c>
      <c r="H21" s="17" t="inlineStr">
        <is>
          <t>단가</t>
        </is>
      </c>
      <c r="I21" s="26" t="inlineStr">
        <is>
          <t>금액</t>
        </is>
      </c>
      <c r="L21" s="2" t="n"/>
    </row>
    <row r="22" ht="29.25" customFormat="1" customHeight="1" s="30">
      <c r="A22" s="57" t="inlineStr">
        <is>
          <t>A</t>
        </is>
      </c>
      <c r="B22" s="58" t="inlineStr">
        <is>
          <t>Server</t>
        </is>
      </c>
      <c r="C22" s="130" t="inlineStr">
        <is>
          <t xml:space="preserve"> Gigabyte Server System G494-SB0-AAP2</t>
        </is>
      </c>
      <c r="D22" s="131" t="n"/>
      <c r="E22" s="132" t="n"/>
      <c r="F22" s="59" t="n"/>
      <c r="G22" s="51" t="n">
        <v>1</v>
      </c>
      <c r="H22" s="133">
        <f>P33</f>
        <v/>
      </c>
      <c r="I22" s="134">
        <f>H22*G22</f>
        <v/>
      </c>
      <c r="J22" s="135" t="n"/>
      <c r="K22" s="135" t="inlineStr">
        <is>
          <t>실매입별도가</t>
        </is>
      </c>
      <c r="L22" s="30" t="inlineStr">
        <is>
          <t>매입단가</t>
        </is>
      </c>
      <c r="M22" s="30" t="inlineStr">
        <is>
          <t>매입수량단가</t>
        </is>
      </c>
      <c r="N22" s="30" t="inlineStr">
        <is>
          <t>마진</t>
        </is>
      </c>
      <c r="O22" s="30" t="inlineStr">
        <is>
          <t>마진 단가</t>
        </is>
      </c>
      <c r="P22" s="30" t="inlineStr">
        <is>
          <t>마진 수량 합</t>
        </is>
      </c>
    </row>
    <row r="23" ht="99.95" customFormat="1" customHeight="1" s="30">
      <c r="A23" s="65" t="n">
        <v>1</v>
      </c>
      <c r="B23" s="61" t="inlineStr">
        <is>
          <t>Chassis</t>
        </is>
      </c>
      <c r="C23" s="90" t="inlineStr">
        <is>
          <t>Gigabyte Server System G494-SB0-AAP2
Supports up to 8 x Dual slot Gen5 GPUs
Conditionally supports 8 x NVIDIA H200 NVL PCIe GPUs with 4-way NVLink bridges*
Dual Intel® Xeon® 6700/6500-Series Processors
8-Channel DDR5 RDIMM / MRDIMM, 32 x DIMMs
Dual ROM Architecture
2 x 10Gb/s LAN ports via Intel® X710-AT2
8 x 2.5" Gen5 NVMe/SATA/SAS-4 hot-swap bays
4 x 2.5" SATA/SAS-4 hot-swap bays
8 x FHFL PCIe Gen5 x16 slots for GPUs
1 x FHHL PCIe Gen5 x8 slot on the front side
Quad 3000W 80 PLUS Titanium redundant power supply
1x MegaRaid 9500-8i + SFF-8654 (SlimSAS) to 2 X MCIO x4</t>
        </is>
      </c>
      <c r="D23" s="136" t="n"/>
      <c r="E23" s="137" t="n"/>
      <c r="F23" s="87" t="n">
        <v>1</v>
      </c>
      <c r="G23" s="86" t="n"/>
      <c r="H23" s="138" t="n"/>
      <c r="I23" s="139" t="n"/>
      <c r="J23" s="135" t="n"/>
      <c r="K23" s="149" t="n"/>
      <c r="L23" s="149" t="n">
        <v>13300000</v>
      </c>
      <c r="M23" s="149">
        <f>F23*L23</f>
        <v/>
      </c>
      <c r="N23" s="165" t="n">
        <v>0.08</v>
      </c>
      <c r="O23" s="149">
        <f>$N$23*L23</f>
        <v/>
      </c>
      <c r="P23" s="149">
        <f>O23*F23+M23</f>
        <v/>
      </c>
      <c r="Q23" s="149" t="n"/>
    </row>
    <row r="24" ht="107.25" customFormat="1" customHeight="1" s="30">
      <c r="A24" s="65" t="n">
        <v>2</v>
      </c>
      <c r="B24" s="61" t="inlineStr">
        <is>
          <t>Board</t>
        </is>
      </c>
      <c r="C24" s="140" t="n"/>
      <c r="D24" s="123" t="n"/>
      <c r="E24" s="141" t="n"/>
      <c r="F24" s="142" t="n"/>
      <c r="G24" s="142" t="n"/>
      <c r="H24" s="143" t="n"/>
      <c r="I24" s="144" t="n"/>
      <c r="J24" s="135" t="n"/>
      <c r="K24" s="149" t="n"/>
      <c r="L24" s="149" t="n"/>
      <c r="M24" s="149" t="n"/>
      <c r="N24" s="165" t="n"/>
      <c r="O24" s="149" t="n"/>
      <c r="P24" s="149" t="n"/>
      <c r="Q24" s="149" t="n"/>
    </row>
    <row r="25" ht="29.25" customFormat="1" customHeight="1" s="30">
      <c r="A25" s="65" t="n">
        <v>3</v>
      </c>
      <c r="B25" s="61" t="inlineStr">
        <is>
          <t xml:space="preserve">CPU </t>
        </is>
      </c>
      <c r="C25" s="145" t="inlineStr">
        <is>
          <t xml:space="preserve"> Intel® Xeon® 6 6515P</t>
        </is>
      </c>
      <c r="D25" s="124" t="n"/>
      <c r="E25" s="146" t="n"/>
      <c r="F25" s="87" t="n">
        <v>2</v>
      </c>
      <c r="G25" s="52" t="n"/>
      <c r="H25" s="143" t="n"/>
      <c r="I25" s="144" t="n"/>
      <c r="J25" s="135" t="n"/>
      <c r="K25" s="149" t="n"/>
      <c r="L25" s="149" t="n">
        <v>1700000</v>
      </c>
      <c r="M25" s="149">
        <f>F25*L25</f>
        <v/>
      </c>
      <c r="N25" s="149" t="n"/>
      <c r="O25" s="149">
        <f>$N$23*L25</f>
        <v/>
      </c>
      <c r="P25" s="149">
        <f>O25*F25+M25</f>
        <v/>
      </c>
      <c r="Q25" s="149">
        <f>P25/F25</f>
        <v/>
      </c>
    </row>
    <row r="26" ht="29.25" customFormat="1" customHeight="1" s="30">
      <c r="A26" s="65" t="n">
        <v>4</v>
      </c>
      <c r="B26" s="61" t="inlineStr">
        <is>
          <t>RAM</t>
        </is>
      </c>
      <c r="C26" s="147" t="inlineStr">
        <is>
          <t xml:space="preserve"> 64GB DDR5 ECC-RDIMM</t>
        </is>
      </c>
      <c r="D26" s="124" t="n"/>
      <c r="E26" s="146" t="n"/>
      <c r="F26" s="87" t="n">
        <v>16</v>
      </c>
      <c r="G26" s="52" t="n"/>
      <c r="H26" s="143" t="n"/>
      <c r="I26" s="144" t="n"/>
      <c r="J26" s="135" t="n"/>
      <c r="K26" s="149" t="n">
        <v>1480000</v>
      </c>
      <c r="L26" s="149">
        <f>K26</f>
        <v/>
      </c>
      <c r="M26" s="149">
        <f>F26*L26</f>
        <v/>
      </c>
      <c r="N26" s="149" t="n"/>
      <c r="O26" s="149">
        <f>$N$23*L26</f>
        <v/>
      </c>
      <c r="P26" s="149">
        <f>Q26*F26</f>
        <v/>
      </c>
      <c r="Q26" s="149" t="n">
        <v>3900000</v>
      </c>
      <c r="R26" s="148" t="n"/>
    </row>
    <row r="27" ht="29.25" customFormat="1" customHeight="1" s="30">
      <c r="A27" s="65" t="n">
        <v>5</v>
      </c>
      <c r="B27" s="61" t="inlineStr">
        <is>
          <t>SSD</t>
        </is>
      </c>
      <c r="C27" s="147" t="inlineStr">
        <is>
          <t xml:space="preserve"> 삼성전자 PM9A3 U.2 3.84TB</t>
        </is>
      </c>
      <c r="D27" s="124" t="n"/>
      <c r="E27" s="146" t="n"/>
      <c r="F27" s="87" t="n">
        <v>2</v>
      </c>
      <c r="G27" s="52" t="n"/>
      <c r="H27" s="143" t="n"/>
      <c r="I27" s="144" t="n"/>
      <c r="J27" s="135" t="n"/>
      <c r="K27" s="149" t="n">
        <v>830000</v>
      </c>
      <c r="L27" s="149" t="n">
        <v>2900000</v>
      </c>
      <c r="M27" s="149">
        <f>F27*L27</f>
        <v/>
      </c>
      <c r="N27" s="149" t="n"/>
      <c r="O27" s="149">
        <f>$N$23*L27</f>
        <v/>
      </c>
      <c r="P27" s="149">
        <f>O27*F27+M27</f>
        <v/>
      </c>
      <c r="Q27" s="149">
        <f>P27/F27</f>
        <v/>
      </c>
      <c r="R27" s="149" t="n"/>
    </row>
    <row r="28" hidden="1" ht="29.25" customFormat="1" customHeight="1" s="30">
      <c r="A28" s="75" t="n">
        <v>5</v>
      </c>
      <c r="B28" s="76" t="inlineStr">
        <is>
          <t>GPU</t>
        </is>
      </c>
      <c r="C28" s="102" t="inlineStr">
        <is>
          <t xml:space="preserve"> NVIDIA PRO 6000 Server Edition</t>
        </is>
      </c>
      <c r="D28" s="136" t="n"/>
      <c r="E28" s="137" t="n"/>
      <c r="F28" s="77" t="n">
        <v>8</v>
      </c>
      <c r="G28" s="78" t="n"/>
      <c r="H28" s="143" t="n"/>
      <c r="I28" s="144" t="n"/>
      <c r="J28" s="135" t="n"/>
      <c r="K28" s="149" t="n"/>
      <c r="M28" s="149" t="n"/>
      <c r="P28" s="149" t="n"/>
      <c r="Q28" s="149">
        <f>P28/F28</f>
        <v/>
      </c>
    </row>
    <row r="29" ht="29.25" customFormat="1" customHeight="1" s="30" thickBot="1">
      <c r="A29" s="79" t="n">
        <v>6</v>
      </c>
      <c r="B29" s="80" t="inlineStr">
        <is>
          <t>GPU</t>
        </is>
      </c>
      <c r="C29" s="88" t="inlineStr">
        <is>
          <t xml:space="preserve"> NVIDIA RTX PRO 6000 Blackwell Server Edition</t>
        </is>
      </c>
      <c r="D29" s="150" t="n"/>
      <c r="E29" s="151" t="n"/>
      <c r="F29" s="81" t="n">
        <v>8</v>
      </c>
      <c r="G29" s="82" t="n"/>
      <c r="H29" s="152" t="n"/>
      <c r="I29" s="153" t="n"/>
      <c r="J29" s="135" t="n"/>
      <c r="K29" s="149" t="n"/>
      <c r="M29" s="149" t="n"/>
      <c r="P29" s="149" t="n"/>
      <c r="Q29" s="149" t="n"/>
      <c r="R29" s="149" t="n"/>
    </row>
    <row r="30" ht="27.75" customHeight="1" s="122" thickBot="1" thickTop="1">
      <c r="A30" s="44" t="inlineStr">
        <is>
          <t>* Remark</t>
        </is>
      </c>
      <c r="B30" s="62" t="n"/>
      <c r="C30" s="63" t="n"/>
      <c r="D30" s="63" t="n"/>
      <c r="E30" s="20" t="n"/>
      <c r="F30" s="154" t="inlineStr">
        <is>
          <t>소       액</t>
        </is>
      </c>
      <c r="G30" s="155" t="n"/>
      <c r="H30" s="156">
        <f>H22</f>
        <v/>
      </c>
      <c r="I30" s="155" t="n"/>
      <c r="J30" s="157" t="n"/>
      <c r="K30" s="149" t="n"/>
      <c r="L30" s="166">
        <f>SUM(L23:L28)</f>
        <v/>
      </c>
      <c r="M30" s="166">
        <f>SUM(M23:M28)</f>
        <v/>
      </c>
      <c r="N30" s="166" t="n"/>
      <c r="O30" s="166">
        <f>SUM(O23:O28)</f>
        <v/>
      </c>
      <c r="P30" s="166">
        <f>SUM(P23:P28)</f>
        <v/>
      </c>
      <c r="Q30" s="164" t="n">
        <v>41744000</v>
      </c>
    </row>
    <row r="31" ht="27.75" customHeight="1" s="122" thickBot="1">
      <c r="A31" s="29" t="inlineStr">
        <is>
          <t>- 3년 무상 보증</t>
        </is>
      </c>
      <c r="B31" s="64" t="n"/>
      <c r="C31" s="63" t="n"/>
      <c r="D31" s="63" t="n"/>
      <c r="E31" s="85" t="n"/>
      <c r="F31" s="158" t="inlineStr">
        <is>
          <t>세       액</t>
        </is>
      </c>
      <c r="G31" s="159" t="n"/>
      <c r="H31" s="160">
        <f>H30*0.1</f>
        <v/>
      </c>
      <c r="I31" s="159" t="n"/>
      <c r="J31" s="157" t="n"/>
      <c r="K31" s="167" t="n">
        <v>24000000</v>
      </c>
      <c r="L31" s="168">
        <f>K31*F29</f>
        <v/>
      </c>
      <c r="M31" s="169" t="n"/>
      <c r="N31" s="166" t="n"/>
      <c r="P31" s="170">
        <f>P30</f>
        <v/>
      </c>
      <c r="Q31" s="171">
        <f>P31-P30</f>
        <v/>
      </c>
    </row>
    <row r="32" ht="27.75" customHeight="1" s="122" thickBot="1">
      <c r="A32" s="28" t="inlineStr">
        <is>
          <t>계좌번호 : 국민은행 062037-04-007843  예금주 : ㈜엑스디노드</t>
        </is>
      </c>
      <c r="B32" s="21" t="n"/>
      <c r="C32" s="22" t="n"/>
      <c r="D32" s="22" t="n"/>
      <c r="E32" s="23" t="n"/>
      <c r="F32" s="161" t="inlineStr">
        <is>
          <t>총       액</t>
        </is>
      </c>
      <c r="G32" s="162" t="n"/>
      <c r="H32" s="163">
        <f>H30+H31</f>
        <v/>
      </c>
      <c r="I32" s="162" t="n"/>
      <c r="J32" s="157" t="n"/>
      <c r="K32" s="172" t="n">
        <v>17130000</v>
      </c>
      <c r="L32" s="168">
        <f>K32*F29</f>
        <v/>
      </c>
      <c r="M32" s="173">
        <f>M30+L32</f>
        <v/>
      </c>
      <c r="N32" s="166" t="n"/>
      <c r="P32" s="174" t="n"/>
      <c r="Q32" s="166" t="n"/>
    </row>
    <row r="33" ht="29.25" customHeight="1" s="122" thickBot="1" thickTop="1">
      <c r="A33" s="2" t="n"/>
      <c r="B33" s="2" t="n"/>
      <c r="K33" s="45" t="inlineStr">
        <is>
          <t>총마진</t>
        </is>
      </c>
      <c r="M33" s="175">
        <f>P33-M32</f>
        <v/>
      </c>
      <c r="P33" s="170">
        <f>P31+L31</f>
        <v/>
      </c>
      <c r="Q33" s="166" t="n"/>
    </row>
    <row r="34" ht="29.25" customHeight="1" s="122">
      <c r="A34" s="2" t="n"/>
      <c r="B34" s="2" t="n"/>
      <c r="I34" s="164" t="n"/>
      <c r="K34" s="45" t="inlineStr">
        <is>
          <t>서버마진</t>
        </is>
      </c>
      <c r="M34" s="175">
        <f>P31-M30</f>
        <v/>
      </c>
      <c r="O34" s="166" t="n"/>
      <c r="P34" s="166" t="n"/>
      <c r="Q34" s="166" t="n"/>
    </row>
    <row r="35" ht="29.25" customHeight="1" s="122">
      <c r="A35" s="2" t="n"/>
      <c r="B35" s="2" t="n"/>
      <c r="I35" s="164" t="n"/>
      <c r="K35" s="47" t="inlineStr">
        <is>
          <t>GPU마진</t>
        </is>
      </c>
      <c r="L35" s="48" t="n"/>
      <c r="M35" s="176">
        <f>L31-L32</f>
        <v/>
      </c>
      <c r="N35" s="166" t="n"/>
      <c r="P35" s="171" t="n"/>
    </row>
    <row r="36" ht="30" customHeight="1" s="122">
      <c r="A36" s="2" t="n"/>
      <c r="B36" s="2" t="n"/>
      <c r="K36" s="2" t="inlineStr">
        <is>
          <t>램 제외</t>
        </is>
      </c>
      <c r="M36" s="166" t="n"/>
    </row>
    <row r="37" ht="30" customHeight="1" s="122">
      <c r="A37" s="2" t="n"/>
      <c r="B37" s="2" t="n"/>
      <c r="K37" s="166">
        <f>M30-M26</f>
        <v/>
      </c>
      <c r="M37" s="166" t="n"/>
    </row>
    <row r="38">
      <c r="K38" s="171">
        <f>P31-P26</f>
        <v/>
      </c>
    </row>
    <row r="39">
      <c r="K39" s="171">
        <f>K38-K37</f>
        <v/>
      </c>
    </row>
  </sheetData>
  <mergeCells count="23">
    <mergeCell ref="G23:G24"/>
    <mergeCell ref="B7:C7"/>
    <mergeCell ref="C22:E22"/>
    <mergeCell ref="B13:D13"/>
    <mergeCell ref="C25:E25"/>
    <mergeCell ref="H31:I31"/>
    <mergeCell ref="C21:E21"/>
    <mergeCell ref="F30:G30"/>
    <mergeCell ref="C27:E27"/>
    <mergeCell ref="B11:C11"/>
    <mergeCell ref="F32:G32"/>
    <mergeCell ref="F23:F24"/>
    <mergeCell ref="B8:C8"/>
    <mergeCell ref="C28:E28"/>
    <mergeCell ref="H32:I32"/>
    <mergeCell ref="B10:C10"/>
    <mergeCell ref="F31:G31"/>
    <mergeCell ref="B9:C9"/>
    <mergeCell ref="A2:I3"/>
    <mergeCell ref="C23:E24"/>
    <mergeCell ref="C26:E26"/>
    <mergeCell ref="C29:E29"/>
    <mergeCell ref="H30:I30"/>
  </mergeCells>
  <hyperlinks>
    <hyperlink xmlns:r="http://schemas.openxmlformats.org/officeDocument/2006/relationships" ref="B10" r:id="rId1"/>
    <hyperlink xmlns:r="http://schemas.openxmlformats.org/officeDocument/2006/relationships" ref="H11" r:id="rId2"/>
    <hyperlink xmlns:r="http://schemas.openxmlformats.org/officeDocument/2006/relationships" ref="H17" r:id="rId3"/>
  </hyperlinks>
  <printOptions horizontalCentered="1"/>
  <pageMargins left="0.3934722244739532" right="0.3934722244739532" top="0.7869444489479065" bottom="0.7086111307144165" header="0" footer="0"/>
  <pageSetup orientation="portrait" paperSize="9" scale="56"/>
  <drawing xmlns:r="http://schemas.openxmlformats.org/officeDocument/2006/relationships" r:id="rId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2016-11-24T06:44:46Z</dcterms:created>
  <dcterms:modified xmlns:dcterms="http://purl.org/dc/terms/" xmlns:xsi="http://www.w3.org/2001/XMLSchema-instance" xsi:type="dcterms:W3CDTF">2026-09-17T03:53:15Z</dcterms:modified>
  <cp:lastModifiedBy/>
  <cp:version>1100.0100.01</cp:version>
  <cp:revision>59</cp:revision>
  <cp:lastPrinted>2026-04-10T04:58:31Z</cp:lastPrinted>
</cp:coreProperties>
</file>